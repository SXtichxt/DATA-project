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43023C7D-6659-4C58-A738-C8792A9FD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 a="1"/>
  <c r="H12" i="1" s="1"/>
  <c r="H11" i="1" a="1"/>
  <c r="H11" i="1" s="1"/>
  <c r="H10" i="1" a="1"/>
  <c r="H10" i="1" s="1"/>
  <c r="H9" i="1" a="1"/>
  <c r="H9" i="1" s="1"/>
  <c r="H3" i="1"/>
  <c r="H7" i="1" a="1"/>
  <c r="H7" i="1" s="1"/>
  <c r="H6" i="1"/>
  <c r="H5" i="1"/>
  <c r="H4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<sst xmlns="http://schemas.openxmlformats.org/spreadsheetml/2006/main" count="35" uniqueCount="18">
  <si>
    <t>Date</t>
  </si>
  <si>
    <t>Name</t>
  </si>
  <si>
    <t xml:space="preserve">Price </t>
  </si>
  <si>
    <t>Quantity</t>
  </si>
  <si>
    <t>Cupcake</t>
  </si>
  <si>
    <t>Cookie</t>
  </si>
  <si>
    <t>Muffin</t>
  </si>
  <si>
    <t>Pie</t>
  </si>
  <si>
    <t>Revenue</t>
  </si>
  <si>
    <t>SUMPRODUCT</t>
  </si>
  <si>
    <t>Total Q # of Cookies Sold</t>
  </si>
  <si>
    <t>Total Q# of Cupcakes Sold</t>
  </si>
  <si>
    <t>Total Q# of Muffins Sold</t>
  </si>
  <si>
    <t>Total Q# of Pies Sold</t>
  </si>
  <si>
    <t>Total RE# of Cookies Sold</t>
  </si>
  <si>
    <t>Total RE# of Cupcakes Sold</t>
  </si>
  <si>
    <t>Total RE# of Muffins Sold</t>
  </si>
  <si>
    <t>Total RE# of 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</si>
</sst>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&quot;$&quot;#,##0.00"/>
  </numFmts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000000"/>
      <name val="&quot;Google Sans Mono&quot;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right"/>
    </xf>
    <xf numFmtId="4" fontId="0" fillId="0" borderId="0" xfId="0" applyNumberForma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right"/>
    </xf>
    <xf numFmtId="0" fontId="0" fillId="0" borderId="0" xfId="0" applyBorder="1"/>
    <xf numFmtId="0" fontId="3" fillId="2" borderId="0" xfId="0" applyFont="1" applyFill="1" applyBorder="1" applyAlignment="1">
      <alignment horizontal="right"/>
    </xf>
    <xf numFmtId="0" fontId="6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tabSelected="1" zoomScale="130" zoomScaleNormal="130" workbookViewId="0">
      <selection activeCell="H7" sqref="H7"/>
    </sheetView>
  </sheetViews>
  <sheetFormatPr defaultColWidth="12.5703125" defaultRowHeight="15.75" customHeight="1"/>
  <cols>
    <col min="1" max="6" width="15.7109375" customWidth="1"/>
    <col min="7" max="7" width="25" customWidth="1"/>
    <col min="8" max="26" width="15.710937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2"/>
      <c r="G1" s="2"/>
      <c r="H1" s="2"/>
    </row>
    <row r="2" spans="1:8" ht="15.75" customHeight="1">
      <c r="A2" s="3">
        <v>45010</v>
      </c>
      <c r="B2" s="4" t="s">
        <v>4</v>
      </c>
      <c r="C2" s="5">
        <v>2</v>
      </c>
      <c r="D2" s="4">
        <v>30</v>
      </c>
      <c r="E2" s="7" t="str">
        <f>"$"&amp;C2*D2</f>
        <v>$60</v>
      </c>
    </row>
    <row r="3" spans="1:8" ht="15.75" customHeight="1">
      <c r="A3" s="3">
        <v>45010</v>
      </c>
      <c r="B3" s="4" t="s">
        <v>5</v>
      </c>
      <c r="C3" s="5">
        <v>1</v>
      </c>
      <c r="D3" s="4">
        <v>20</v>
      </c>
      <c r="E3" s="7" t="str">
        <f t="shared" ref="E3:E22" si="0">"$"&amp;C3*D3</f>
        <v>$20</v>
      </c>
      <c r="G3" s="8" t="s">
        <v>10</v>
      </c>
      <c r="H3" s="4">
        <f>SUMIF(B:B,"Cookie",D:D)</f>
        <v>117</v>
      </c>
    </row>
    <row r="4" spans="1:8" ht="15.75" customHeight="1">
      <c r="A4" s="3">
        <v>45010</v>
      </c>
      <c r="B4" s="4" t="s">
        <v>6</v>
      </c>
      <c r="C4" s="5">
        <v>3</v>
      </c>
      <c r="D4" s="4">
        <v>12</v>
      </c>
      <c r="E4" s="7" t="str">
        <f t="shared" si="0"/>
        <v>$36</v>
      </c>
      <c r="G4" s="8" t="s">
        <v>11</v>
      </c>
      <c r="H4" s="4">
        <f>SUMIF(B:B,"Cupcake",D:D)</f>
        <v>291</v>
      </c>
    </row>
    <row r="5" spans="1:8" ht="15.75" customHeight="1">
      <c r="A5" s="3">
        <v>45011</v>
      </c>
      <c r="B5" s="4" t="s">
        <v>4</v>
      </c>
      <c r="C5" s="5">
        <v>2</v>
      </c>
      <c r="D5" s="4">
        <v>40</v>
      </c>
      <c r="E5" s="7" t="str">
        <f t="shared" si="0"/>
        <v>$80</v>
      </c>
      <c r="G5" s="8" t="s">
        <v>12</v>
      </c>
      <c r="H5" s="4">
        <f>SUMIF(B:B,"Muffin",D:D)</f>
        <v>54</v>
      </c>
    </row>
    <row r="6" spans="1:8" ht="15.75" customHeight="1">
      <c r="A6" s="3">
        <v>45011</v>
      </c>
      <c r="B6" s="4" t="s">
        <v>7</v>
      </c>
      <c r="C6" s="5">
        <v>5</v>
      </c>
      <c r="D6" s="4">
        <v>15</v>
      </c>
      <c r="E6" s="7" t="str">
        <f t="shared" si="0"/>
        <v>$75</v>
      </c>
      <c r="G6" s="8" t="s">
        <v>13</v>
      </c>
      <c r="H6" s="4">
        <f>SUMIF(B:B,"Pie",D:D)</f>
        <v>66</v>
      </c>
    </row>
    <row r="7" spans="1:8" ht="15.75" customHeight="1">
      <c r="A7" s="3">
        <v>45012</v>
      </c>
      <c r="B7" s="4" t="s">
        <v>4</v>
      </c>
      <c r="C7" s="5">
        <v>2</v>
      </c>
      <c r="D7" s="4">
        <v>35</v>
      </c>
      <c r="E7" s="7" t="str">
        <f t="shared" si="0"/>
        <v>$70</v>
      </c>
      <c r="G7" s="9" t="s">
        <v>9</v>
      </c>
      <c r="H7" cm="1">
        <f t="array" ref="H7">SUMPRODUCT(((B2:B22="Cupcake")+(B2:B22="Cookie"))*(D2:D22))</f>
        <v>408</v>
      </c>
    </row>
    <row r="8" spans="1:8" ht="15.75" customHeight="1">
      <c r="A8" s="3">
        <v>45012</v>
      </c>
      <c r="B8" s="4" t="s">
        <v>5</v>
      </c>
      <c r="C8" s="5">
        <v>1</v>
      </c>
      <c r="D8" s="4">
        <v>25</v>
      </c>
      <c r="E8" s="7" t="str">
        <f t="shared" si="0"/>
        <v>$25</v>
      </c>
      <c r="H8" s="11"/>
    </row>
    <row r="9" spans="1:8" ht="15.75" customHeight="1">
      <c r="A9" s="3">
        <v>45012</v>
      </c>
      <c r="B9" s="4" t="s">
        <v>6</v>
      </c>
      <c r="C9" s="5">
        <v>3</v>
      </c>
      <c r="D9" s="4">
        <v>14</v>
      </c>
      <c r="E9" s="7" t="str">
        <f t="shared" si="0"/>
        <v>$42</v>
      </c>
      <c r="G9" s="8" t="s">
        <v>14</v>
      </c>
      <c r="H9" s="12" cm="1">
        <f t="array" ref="H9">SUMPRODUCT((B2:B22="Cookie")*(C2:C22)*(D2:D22))</f>
        <v>117</v>
      </c>
    </row>
    <row r="10" spans="1:8" ht="15.75" customHeight="1">
      <c r="A10" s="3">
        <v>45013</v>
      </c>
      <c r="B10" s="4" t="s">
        <v>4</v>
      </c>
      <c r="C10" s="5">
        <v>2</v>
      </c>
      <c r="D10" s="4">
        <v>32</v>
      </c>
      <c r="E10" s="7" t="str">
        <f t="shared" si="0"/>
        <v>$64</v>
      </c>
      <c r="G10" s="8" t="s">
        <v>15</v>
      </c>
      <c r="H10" s="13" cm="1">
        <f t="array" ref="H10">SUMPRODUCT((B2:B22 = "Cupcake")*(C2:C22)*(D2:D22))</f>
        <v>582</v>
      </c>
    </row>
    <row r="11" spans="1:8" ht="15.75" customHeight="1">
      <c r="A11" s="3">
        <v>45013</v>
      </c>
      <c r="B11" s="4" t="s">
        <v>7</v>
      </c>
      <c r="C11" s="5">
        <v>5</v>
      </c>
      <c r="D11" s="4">
        <v>16</v>
      </c>
      <c r="E11" s="7" t="str">
        <f t="shared" si="0"/>
        <v>$80</v>
      </c>
      <c r="G11" s="8" t="s">
        <v>16</v>
      </c>
      <c r="H11" s="10" cm="1">
        <f t="array" ref="H11">SUMPRODUCT((B3:B23 = "Muffin")*(C3:C23)*(D3:D23))</f>
        <v>162</v>
      </c>
    </row>
    <row r="12" spans="1:8" ht="15.75" customHeight="1">
      <c r="A12" s="3">
        <v>45014</v>
      </c>
      <c r="B12" s="4" t="s">
        <v>4</v>
      </c>
      <c r="C12" s="5">
        <v>2</v>
      </c>
      <c r="D12" s="4">
        <v>38</v>
      </c>
      <c r="E12" s="7" t="str">
        <f t="shared" si="0"/>
        <v>$76</v>
      </c>
      <c r="G12" s="8" t="s">
        <v>17</v>
      </c>
      <c r="H12" s="10" cm="1">
        <f t="array" ref="H12">SUMPRODUCT((B4:B24 = "Pie")*(C4:C24)*(D4:D24))</f>
        <v>330</v>
      </c>
    </row>
    <row r="13" spans="1:8" ht="15.75" customHeight="1">
      <c r="A13" s="3">
        <v>45014</v>
      </c>
      <c r="B13" s="4" t="s">
        <v>5</v>
      </c>
      <c r="C13" s="5">
        <v>1</v>
      </c>
      <c r="D13" s="4">
        <v>22</v>
      </c>
      <c r="E13" s="7" t="str">
        <f t="shared" si="0"/>
        <v>$22</v>
      </c>
    </row>
    <row r="14" spans="1:8" ht="15.75" customHeight="1">
      <c r="A14" s="3">
        <v>45014</v>
      </c>
      <c r="B14" s="4" t="s">
        <v>6</v>
      </c>
      <c r="C14" s="5">
        <v>3</v>
      </c>
      <c r="D14" s="4">
        <v>13</v>
      </c>
      <c r="E14" s="7" t="str">
        <f t="shared" si="0"/>
        <v>$39</v>
      </c>
    </row>
    <row r="15" spans="1:8" ht="15.75" customHeight="1">
      <c r="A15" s="3">
        <v>45015</v>
      </c>
      <c r="B15" s="4" t="s">
        <v>4</v>
      </c>
      <c r="C15" s="5">
        <v>2</v>
      </c>
      <c r="D15" s="4">
        <v>36</v>
      </c>
      <c r="E15" s="7" t="str">
        <f t="shared" si="0"/>
        <v>$72</v>
      </c>
    </row>
    <row r="16" spans="1:8" ht="15.75" customHeight="1">
      <c r="A16" s="3">
        <v>45015</v>
      </c>
      <c r="B16" s="4" t="s">
        <v>7</v>
      </c>
      <c r="C16" s="5">
        <v>5</v>
      </c>
      <c r="D16" s="4">
        <v>17</v>
      </c>
      <c r="E16" s="7" t="str">
        <f t="shared" si="0"/>
        <v>$85</v>
      </c>
    </row>
    <row r="17" spans="1:5" ht="15.75" customHeight="1">
      <c r="A17" s="3">
        <v>45016</v>
      </c>
      <c r="B17" s="4" t="s">
        <v>4</v>
      </c>
      <c r="C17" s="5">
        <v>2</v>
      </c>
      <c r="D17" s="4">
        <v>39</v>
      </c>
      <c r="E17" s="7" t="str">
        <f t="shared" si="0"/>
        <v>$78</v>
      </c>
    </row>
    <row r="18" spans="1:5" ht="15.75" customHeight="1">
      <c r="A18" s="3">
        <v>45016</v>
      </c>
      <c r="B18" s="4" t="s">
        <v>5</v>
      </c>
      <c r="C18" s="5">
        <v>1</v>
      </c>
      <c r="D18" s="4">
        <v>24</v>
      </c>
      <c r="E18" s="7" t="str">
        <f t="shared" si="0"/>
        <v>$24</v>
      </c>
    </row>
    <row r="19" spans="1:5" ht="15.75" customHeight="1">
      <c r="A19" s="3">
        <v>45016</v>
      </c>
      <c r="B19" s="4" t="s">
        <v>6</v>
      </c>
      <c r="C19" s="5">
        <v>3</v>
      </c>
      <c r="D19" s="4">
        <v>15</v>
      </c>
      <c r="E19" s="7" t="str">
        <f t="shared" si="0"/>
        <v>$45</v>
      </c>
    </row>
    <row r="20" spans="1:5" ht="15.75" customHeight="1">
      <c r="A20" s="3">
        <v>45016</v>
      </c>
      <c r="B20" s="4" t="s">
        <v>7</v>
      </c>
      <c r="C20" s="5">
        <v>5</v>
      </c>
      <c r="D20" s="4">
        <v>18</v>
      </c>
      <c r="E20" s="7" t="str">
        <f t="shared" si="0"/>
        <v>$90</v>
      </c>
    </row>
    <row r="21" spans="1:5" ht="15.75" customHeight="1">
      <c r="A21" s="3">
        <v>45016</v>
      </c>
      <c r="B21" s="4" t="s">
        <v>4</v>
      </c>
      <c r="C21" s="5">
        <v>2</v>
      </c>
      <c r="D21" s="4">
        <v>41</v>
      </c>
      <c r="E21" s="7" t="str">
        <f t="shared" si="0"/>
        <v>$82</v>
      </c>
    </row>
    <row r="22" spans="1:5" ht="15.75" customHeight="1">
      <c r="A22" s="3">
        <v>45016</v>
      </c>
      <c r="B22" s="4" t="s">
        <v>5</v>
      </c>
      <c r="C22" s="5">
        <v>1</v>
      </c>
      <c r="D22" s="4">
        <v>26</v>
      </c>
      <c r="E22" s="7" t="str">
        <f t="shared" si="0"/>
        <v>$26</v>
      </c>
    </row>
    <row r="24" spans="1:5" ht="15.75" customHeight="1">
      <c r="D2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Atichat Thongplew</cp:lastModifiedBy>
  <dcterms:modified xsi:type="dcterms:W3CDTF">2025-10-12T19:43:46Z</dcterms:modified>
</cp:coreProperties>
</file>